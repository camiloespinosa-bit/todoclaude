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Cronogr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oppins"/>
      <b val="1"/>
    </font>
    <font>
      <name val="Poppins"/>
      <b val="1"/>
      <color rgb="00FFFFFF"/>
    </font>
    <font>
      <name val="Poppins"/>
    </font>
  </fonts>
  <fills count="5">
    <fill>
      <patternFill/>
    </fill>
    <fill>
      <patternFill patternType="gray125"/>
    </fill>
    <fill>
      <patternFill patternType="solid">
        <fgColor rgb="002C5F7C"/>
      </patternFill>
    </fill>
    <fill>
      <patternFill patternType="solid">
        <fgColor rgb="007CB342"/>
      </patternFill>
    </fill>
    <fill>
      <patternFill patternType="solid">
        <fgColor rgb="00F57C0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3" fontId="1" fillId="0" borderId="1" applyAlignment="1" pivotButton="0" quotePrefix="0" xfId="0">
      <alignment vertical="top" wrapText="1"/>
    </xf>
    <xf numFmtId="9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3" fillId="3" borderId="1" pivotButton="0" quotePrefix="0" xfId="0"/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Gimnasio del Criterio · Presupuesto en USD (12 meses) · Borrador v1, valores estimados: ajustar con costos reales</t>
        </is>
      </c>
    </row>
    <row r="3">
      <c r="A3" s="2" t="inlineStr">
        <is>
          <t>Rubro</t>
        </is>
      </c>
      <c r="B3" s="2" t="inlineStr">
        <is>
          <t>Detalle</t>
        </is>
      </c>
      <c r="C3" s="2" t="inlineStr">
        <is>
          <t>Unidad</t>
        </is>
      </c>
      <c r="D3" s="2" t="inlineStr">
        <is>
          <t>Cantidad</t>
        </is>
      </c>
      <c r="E3" s="2" t="inlineStr">
        <is>
          <t>Valor unitario (USD)</t>
        </is>
      </c>
      <c r="F3" s="2" t="inlineStr">
        <is>
          <t>Total (USD)</t>
        </is>
      </c>
    </row>
    <row r="4">
      <c r="A4" s="3" t="inlineStr">
        <is>
          <t>1. Talento humano</t>
        </is>
      </c>
      <c r="B4" s="3" t="inlineStr">
        <is>
          <t>Director del proyecto (dedicación parcial)</t>
        </is>
      </c>
      <c r="C4" s="3" t="inlineStr">
        <is>
          <t>mes</t>
        </is>
      </c>
      <c r="D4" s="3" t="n">
        <v>12</v>
      </c>
      <c r="E4" s="4" t="n">
        <v>500</v>
      </c>
      <c r="F4" s="4">
        <f>D4*E4</f>
        <v/>
      </c>
    </row>
    <row r="5">
      <c r="A5" s="3" t="inlineStr">
        <is>
          <t>1. Talento humano</t>
        </is>
      </c>
      <c r="B5" s="3" t="inlineStr">
        <is>
          <t>Coordinador pedagógico (medio tiempo)</t>
        </is>
      </c>
      <c r="C5" s="3" t="inlineStr">
        <is>
          <t>mes</t>
        </is>
      </c>
      <c r="D5" s="3" t="n">
        <v>12</v>
      </c>
      <c r="E5" s="4" t="n">
        <v>700</v>
      </c>
      <c r="F5" s="4">
        <f>D5*E5</f>
        <v/>
      </c>
    </row>
    <row r="6">
      <c r="A6" s="3" t="inlineStr">
        <is>
          <t>1. Talento humano</t>
        </is>
      </c>
      <c r="B6" s="3" t="inlineStr">
        <is>
          <t>Facilitadores de campo (2 personas, meses 3 a 10)</t>
        </is>
      </c>
      <c r="C6" s="3" t="inlineStr">
        <is>
          <t>mes-persona</t>
        </is>
      </c>
      <c r="D6" s="3" t="n">
        <v>16</v>
      </c>
      <c r="E6" s="4" t="n">
        <v>800</v>
      </c>
      <c r="F6" s="4">
        <f>D6*E6</f>
        <v/>
      </c>
    </row>
    <row r="7">
      <c r="A7" s="3" t="inlineStr">
        <is>
          <t>1. Talento humano</t>
        </is>
      </c>
      <c r="B7" s="3" t="inlineStr">
        <is>
          <t>Apoyo administrativo y contable</t>
        </is>
      </c>
      <c r="C7" s="3" t="inlineStr">
        <is>
          <t>mes</t>
        </is>
      </c>
      <c r="D7" s="3" t="n">
        <v>12</v>
      </c>
      <c r="E7" s="4" t="n">
        <v>100</v>
      </c>
      <c r="F7" s="4">
        <f>D7*E7</f>
        <v/>
      </c>
    </row>
    <row r="8">
      <c r="A8" s="3" t="inlineStr">
        <is>
          <t>2. Plataforma y contenidos</t>
        </is>
      </c>
      <c r="B8" s="3" t="inlineStr">
        <is>
          <t>Plataforma web de retos en familia con Oki (diseño, desarrollo, hosting 12 meses)</t>
        </is>
      </c>
      <c r="C8" s="3" t="inlineStr">
        <is>
          <t>global</t>
        </is>
      </c>
      <c r="D8" s="3" t="n">
        <v>1</v>
      </c>
      <c r="E8" s="4" t="n">
        <v>5500</v>
      </c>
      <c r="F8" s="4">
        <f>D8*E8</f>
        <v/>
      </c>
    </row>
    <row r="9">
      <c r="A9" s="3" t="inlineStr">
        <is>
          <t>2. Plataforma y contenidos</t>
        </is>
      </c>
      <c r="B9" s="3" t="inlineStr">
        <is>
          <t>Producción de videos cortos de los retos para el kit</t>
        </is>
      </c>
      <c r="C9" s="3" t="inlineStr">
        <is>
          <t>global</t>
        </is>
      </c>
      <c r="D9" s="3" t="n">
        <v>1</v>
      </c>
      <c r="E9" s="4" t="n">
        <v>1000</v>
      </c>
      <c r="F9" s="4">
        <f>D9*E9</f>
        <v/>
      </c>
    </row>
    <row r="10">
      <c r="A10" s="3" t="inlineStr">
        <is>
          <t>3. Materiales</t>
        </is>
      </c>
      <c r="B10" s="3" t="inlineStr">
        <is>
          <t>Kits físicos de retos para aulas (5 por colegio, 6 colegios)</t>
        </is>
      </c>
      <c r="C10" s="3" t="inlineStr">
        <is>
          <t>kit</t>
        </is>
      </c>
      <c r="D10" s="3" t="n">
        <v>30</v>
      </c>
      <c r="E10" s="4" t="n">
        <v>90</v>
      </c>
      <c r="F10" s="4">
        <f>D10*E10</f>
        <v/>
      </c>
    </row>
    <row r="11">
      <c r="A11" s="3" t="inlineStr">
        <is>
          <t>3. Materiales</t>
        </is>
      </c>
      <c r="B11" s="3" t="inlineStr">
        <is>
          <t>Guías impresas para docentes</t>
        </is>
      </c>
      <c r="C11" s="3" t="inlineStr">
        <is>
          <t>unidad</t>
        </is>
      </c>
      <c r="D11" s="3" t="n">
        <v>30</v>
      </c>
      <c r="E11" s="4" t="n">
        <v>20</v>
      </c>
      <c r="F11" s="4">
        <f>D11*E11</f>
        <v/>
      </c>
    </row>
    <row r="12">
      <c r="A12" s="3" t="inlineStr">
        <is>
          <t>4. Evaluación</t>
        </is>
      </c>
      <c r="B12" s="3" t="inlineStr">
        <is>
          <t>Aliado académico: diseño y análisis de la prueba antes y después</t>
        </is>
      </c>
      <c r="C12" s="3" t="inlineStr">
        <is>
          <t>global</t>
        </is>
      </c>
      <c r="D12" s="3" t="n">
        <v>1</v>
      </c>
      <c r="E12" s="4" t="n">
        <v>3500</v>
      </c>
      <c r="F12" s="4">
        <f>D12*E12</f>
        <v/>
      </c>
    </row>
    <row r="13">
      <c r="A13" s="3" t="inlineStr">
        <is>
          <t>5. Formación y cierre</t>
        </is>
      </c>
      <c r="B13" s="3" t="inlineStr">
        <is>
          <t>Taller docente (refrigerios y materiales)</t>
        </is>
      </c>
      <c r="C13" s="3" t="inlineStr">
        <is>
          <t>docente</t>
        </is>
      </c>
      <c r="D13" s="3" t="n">
        <v>30</v>
      </c>
      <c r="E13" s="4" t="n">
        <v>40</v>
      </c>
      <c r="F13" s="4">
        <f>D13*E13</f>
        <v/>
      </c>
    </row>
    <row r="14">
      <c r="A14" s="3" t="inlineStr">
        <is>
          <t>5. Formación y cierre</t>
        </is>
      </c>
      <c r="B14" s="3" t="inlineStr">
        <is>
          <t>Laboratorio de propuestas y evento de cierre (logística, transporte rural, refrigerios)</t>
        </is>
      </c>
      <c r="C14" s="3" t="inlineStr">
        <is>
          <t>global</t>
        </is>
      </c>
      <c r="D14" s="3" t="n">
        <v>1</v>
      </c>
      <c r="E14" s="4" t="n">
        <v>2200</v>
      </c>
      <c r="F14" s="4">
        <f>D14*E14</f>
        <v/>
      </c>
    </row>
    <row r="15">
      <c r="A15" s="3" t="inlineStr">
        <is>
          <t>6. Divulgación</t>
        </is>
      </c>
      <c r="B15" s="3" t="inlineStr">
        <is>
          <t>Diseño del kit abierto, piezas de comunicación y publicación</t>
        </is>
      </c>
      <c r="C15" s="3" t="inlineStr">
        <is>
          <t>global</t>
        </is>
      </c>
      <c r="D15" s="3" t="n">
        <v>1</v>
      </c>
      <c r="E15" s="4" t="n">
        <v>1900</v>
      </c>
      <c r="F15" s="4">
        <f>D15*E15</f>
        <v/>
      </c>
    </row>
    <row r="16">
      <c r="A16" s="3" t="inlineStr">
        <is>
          <t>7. Gastos financieros y legales</t>
        </is>
      </c>
      <c r="B16" s="3" t="inlineStr">
        <is>
          <t>Pólizas, gastos bancarios y diferencia en cambio</t>
        </is>
      </c>
      <c r="C16" s="3" t="inlineStr">
        <is>
          <t>global</t>
        </is>
      </c>
      <c r="D16" s="3" t="n">
        <v>1</v>
      </c>
      <c r="E16" s="4" t="n">
        <v>1500</v>
      </c>
      <c r="F16" s="4">
        <f>D16*E16</f>
        <v/>
      </c>
    </row>
    <row r="17">
      <c r="A17" s="3" t="inlineStr">
        <is>
          <t>8. Imprevistos</t>
        </is>
      </c>
      <c r="B17" s="3" t="inlineStr">
        <is>
          <t>Cerca del 3%</t>
        </is>
      </c>
      <c r="C17" s="3" t="inlineStr">
        <is>
          <t>global</t>
        </is>
      </c>
      <c r="D17" s="3" t="n">
        <v>1</v>
      </c>
      <c r="E17" s="4" t="n">
        <v>1500</v>
      </c>
      <c r="F17" s="4">
        <f>D17*E17</f>
        <v/>
      </c>
    </row>
    <row r="18">
      <c r="A18" s="5" t="inlineStr">
        <is>
          <t>TOTAL</t>
        </is>
      </c>
      <c r="B18" s="5" t="inlineStr"/>
      <c r="C18" s="5" t="inlineStr"/>
      <c r="D18" s="5" t="inlineStr"/>
      <c r="E18" s="6" t="inlineStr"/>
      <c r="F18" s="6">
        <f>SUM(F4:F17)</f>
        <v/>
      </c>
    </row>
    <row r="19"/>
    <row r="20">
      <c r="A20" t="inlineStr">
        <is>
          <t>Talento humano / total</t>
        </is>
      </c>
      <c r="F20" s="7">
        <f>SUM(F4:F7)/F18</f>
        <v/>
      </c>
    </row>
    <row r="21">
      <c r="A21" t="inlineStr">
        <is>
          <t>Nota: la convocatoria pide el presupuesto en USD. Convertir a pesos con la TRM vigente y reservar un rubro para diferencia en cambio (ya incluido en el rubro 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6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Gimnasio del Criterio · Cronograma de 12 meses</t>
        </is>
      </c>
    </row>
    <row r="3">
      <c r="A3" s="8" t="inlineStr">
        <is>
          <t>Fase / actividad</t>
        </is>
      </c>
      <c r="B3" s="8" t="inlineStr">
        <is>
          <t>Mes 1</t>
        </is>
      </c>
      <c r="C3" s="8" t="inlineStr">
        <is>
          <t>Mes 2</t>
        </is>
      </c>
      <c r="D3" s="8" t="inlineStr">
        <is>
          <t>Mes 3</t>
        </is>
      </c>
      <c r="E3" s="8" t="inlineStr">
        <is>
          <t>Mes 4</t>
        </is>
      </c>
      <c r="F3" s="8" t="inlineStr">
        <is>
          <t>Mes 5</t>
        </is>
      </c>
      <c r="G3" s="8" t="inlineStr">
        <is>
          <t>Mes 6</t>
        </is>
      </c>
      <c r="H3" s="8" t="inlineStr">
        <is>
          <t>Mes 7</t>
        </is>
      </c>
      <c r="I3" s="8" t="inlineStr">
        <is>
          <t>Mes 8</t>
        </is>
      </c>
      <c r="J3" s="8" t="inlineStr">
        <is>
          <t>Mes 9</t>
        </is>
      </c>
      <c r="K3" s="8" t="inlineStr">
        <is>
          <t>Mes 10</t>
        </is>
      </c>
      <c r="L3" s="8" t="inlineStr">
        <is>
          <t>Mes 11</t>
        </is>
      </c>
      <c r="M3" s="8" t="inlineStr">
        <is>
          <t>Mes 12</t>
        </is>
      </c>
    </row>
    <row r="4">
      <c r="A4" s="9" t="inlineStr">
        <is>
          <t>1. Alistamiento: acuerdos con colegios, consentimientos y ajuste del circuito</t>
        </is>
      </c>
      <c r="B4" s="10" t="inlineStr"/>
      <c r="C4" s="10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1" t="inlineStr"/>
      <c r="M4" s="11" t="inlineStr"/>
    </row>
    <row r="5">
      <c r="A5" s="9" t="inlineStr">
        <is>
          <t>2. Diseño de los 16 retos y la guía docente</t>
        </is>
      </c>
      <c r="B5" s="10" t="inlineStr"/>
      <c r="C5" s="10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</row>
    <row r="6">
      <c r="A6" s="9" t="inlineStr">
        <is>
          <t>3. Formación docente (taller de 12 horas)</t>
        </is>
      </c>
      <c r="B6" s="11" t="inlineStr"/>
      <c r="C6" s="11" t="inlineStr"/>
      <c r="D6" s="10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</row>
    <row r="7">
      <c r="A7" s="9" t="inlineStr">
        <is>
          <t>3. Medición inicial (prueba antes)</t>
        </is>
      </c>
      <c r="B7" s="11" t="inlineStr"/>
      <c r="C7" s="11" t="inlineStr"/>
      <c r="D7" s="10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</row>
    <row r="8">
      <c r="A8" s="9" t="inlineStr">
        <is>
          <t>4. Circuito de 16 retos en el aula, con acompañamiento</t>
        </is>
      </c>
      <c r="B8" s="11" t="inlineStr"/>
      <c r="C8" s="11" t="inlineStr"/>
      <c r="D8" s="11" t="inlineStr"/>
      <c r="E8" s="10" t="inlineStr"/>
      <c r="F8" s="10" t="inlineStr"/>
      <c r="G8" s="10" t="inlineStr"/>
      <c r="H8" s="10" t="inlineStr"/>
      <c r="I8" s="10" t="inlineStr"/>
      <c r="J8" s="11" t="inlineStr"/>
      <c r="K8" s="11" t="inlineStr"/>
      <c r="L8" s="11" t="inlineStr"/>
      <c r="M8" s="11" t="inlineStr"/>
    </row>
    <row r="9">
      <c r="A9" s="9" t="inlineStr">
        <is>
          <t>5. Plataforma web de retos en familia: desarrollo</t>
        </is>
      </c>
      <c r="B9" s="11" t="inlineStr"/>
      <c r="C9" s="10" t="inlineStr"/>
      <c r="D9" s="10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</row>
    <row r="10">
      <c r="A10" s="9" t="inlineStr">
        <is>
          <t>5. Retos en familia: operación</t>
        </is>
      </c>
      <c r="B10" s="11" t="inlineStr"/>
      <c r="C10" s="11" t="inlineStr"/>
      <c r="D10" s="11" t="inlineStr"/>
      <c r="E10" s="10" t="inlineStr"/>
      <c r="F10" s="10" t="inlineStr"/>
      <c r="G10" s="10" t="inlineStr"/>
      <c r="H10" s="10" t="inlineStr"/>
      <c r="I10" s="10" t="inlineStr"/>
      <c r="J10" s="10" t="inlineStr"/>
      <c r="K10" s="11" t="inlineStr"/>
      <c r="L10" s="11" t="inlineStr"/>
      <c r="M10" s="11" t="inlineStr"/>
    </row>
    <row r="11">
      <c r="A11" s="9" t="inlineStr">
        <is>
          <t>6. Laboratorio de propuestas y presentación en espacios reales</t>
        </is>
      </c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0" t="inlineStr"/>
      <c r="J11" s="10" t="inlineStr"/>
      <c r="K11" s="11" t="inlineStr"/>
      <c r="L11" s="11" t="inlineStr"/>
      <c r="M11" s="11" t="inlineStr"/>
    </row>
    <row r="12">
      <c r="A12" s="9" t="inlineStr">
        <is>
          <t>7. Medición final (prueba después) y análisis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0" t="inlineStr"/>
      <c r="L12" s="10" t="inlineStr"/>
      <c r="M12" s="11" t="inlineStr"/>
    </row>
    <row r="13">
      <c r="A13" s="9" t="inlineStr">
        <is>
          <t>7. Kit abierto: diseño y publicación</t>
        </is>
      </c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0" t="inlineStr"/>
      <c r="L13" s="10" t="inlineStr"/>
      <c r="M13" s="10" t="inlineStr"/>
    </row>
    <row r="14">
      <c r="A14" s="9" t="inlineStr">
        <is>
          <t>Divulgación y evento de cierre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0" t="inlineStr"/>
    </row>
    <row r="15">
      <c r="A15" s="9" t="inlineStr">
        <is>
          <t>Informe parcial (segundo desembolso: 50% de ejecución)</t>
        </is>
      </c>
      <c r="B15" s="11" t="inlineStr"/>
      <c r="C15" s="11" t="inlineStr"/>
      <c r="D15" s="11" t="inlineStr"/>
      <c r="E15" s="11" t="inlineStr"/>
      <c r="F15" s="11" t="inlineStr"/>
      <c r="G15" s="12" t="inlineStr"/>
      <c r="H15" s="11" t="inlineStr"/>
      <c r="I15" s="11" t="inlineStr"/>
      <c r="J15" s="11" t="inlineStr"/>
      <c r="K15" s="11" t="inlineStr"/>
      <c r="L15" s="11" t="inlineStr"/>
      <c r="M15" s="11" t="inlineStr"/>
    </row>
    <row r="16">
      <c r="A16" s="9" t="inlineStr">
        <is>
          <t>Informe final (último desembolso)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2" t="inlineStr"/>
    </row>
    <row r="18">
      <c r="A18" t="inlineStr">
        <is>
          <t>Nota: el mes 1 empieza con la firma del convenio (los seleccionados se anuncian el 16 de diciembre de 2026). Ajustar al calendario escolar de Rionegro; el circuito tiene 4 semanas de margen.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2026-10-18T00:32:06Z</dcterms:created>
  <dcterms:modified xmlns:dcterms="http://purl.org/dc/terms/" xmlns:xsi="http://www.w3.org/2001/XMLSchema-instance" xsi:type="dcterms:W3CDTF">2026-10-18T00:32:14Z</dcterms:modified>
</cp:coreProperties>
</file>